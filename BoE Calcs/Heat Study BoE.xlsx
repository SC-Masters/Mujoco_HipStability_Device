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ables" sheetId="2" r:id="rId6"/>
  </sheets>
  <definedNames/>
  <calcPr/>
</workbook>
</file>

<file path=xl/sharedStrings.xml><?xml version="1.0" encoding="utf-8"?>
<sst xmlns="http://schemas.openxmlformats.org/spreadsheetml/2006/main" count="21" uniqueCount="21">
  <si>
    <t>Assumed Constants:</t>
  </si>
  <si>
    <t xml:space="preserve">Enter These Values: </t>
  </si>
  <si>
    <t xml:space="preserve">Calculated Values: </t>
  </si>
  <si>
    <t xml:space="preserve">Typical Power Total Used by Lower Extremities to Walk: </t>
  </si>
  <si>
    <t>W/kg</t>
  </si>
  <si>
    <t>Height (cm)</t>
  </si>
  <si>
    <t>Weight (kg)</t>
  </si>
  <si>
    <t>Power Needed For Their Weight (W)</t>
  </si>
  <si>
    <t>Temperature of Surroundings (K)</t>
  </si>
  <si>
    <t>Body Surface Area (DuBois Equation) (m^2)</t>
  </si>
  <si>
    <t>Heat Transfer (W)</t>
  </si>
  <si>
    <t>Electric Work (W)</t>
  </si>
  <si>
    <t>Heat Transfer Coefficient of Air (at 1 atm):</t>
  </si>
  <si>
    <t>W/(m^2*K)</t>
  </si>
  <si>
    <t>5 foot nill for us Americans</t>
  </si>
  <si>
    <t>11 C or 52 F</t>
  </si>
  <si>
    <t>Temperature of Human Body (Ideally)</t>
  </si>
  <si>
    <t>K</t>
  </si>
  <si>
    <t>HEY THAT'S ME!!!</t>
  </si>
  <si>
    <t>6 foot 1 for us Americans</t>
  </si>
  <si>
    <t>37 C or 100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</si>
</sst>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Height (cm) and Electric Work (W)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Sheet1!$E$1:$E$2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trendline>
            <c:name>Trendline for Height (cm)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Sheet1!$E$3:$E$29</c:f>
              <c:numCache/>
            </c:numRef>
          </c:val>
        </c:ser>
        <c:ser>
          <c:idx val="1"/>
          <c:order val="1"/>
          <c:tx>
            <c:strRef>
              <c:f>Sheet1!$L$1:$L$2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trendline>
            <c:name>Trendline for Electric Work (W)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Sheet1!$L$3:$L$29</c:f>
              <c:numCache/>
            </c:numRef>
          </c:val>
        </c:ser>
        <c:axId val="1995884734"/>
        <c:axId val="769492051"/>
      </c:barChart>
      <c:catAx>
        <c:axId val="199588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492051"/>
      </c:catAx>
      <c:valAx>
        <c:axId val="769492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884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(kg) and Electric Work (W)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Sheet1!$F$1:$F$2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Sheet1!$F$3:$F$29</c:f>
              <c:numCache/>
            </c:numRef>
          </c:val>
        </c:ser>
        <c:ser>
          <c:idx val="1"/>
          <c:order val="1"/>
          <c:tx>
            <c:strRef>
              <c:f>Sheet1!$L$1:$L$2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trendline>
            <c:name>Trendline for Electric Work (W)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Sheet1!$L$3:$L$29</c:f>
              <c:numCache/>
            </c:numRef>
          </c:val>
        </c:ser>
        <c:axId val="1557213074"/>
        <c:axId val="459555387"/>
      </c:barChart>
      <c:catAx>
        <c:axId val="1557213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555387"/>
      </c:catAx>
      <c:valAx>
        <c:axId val="459555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213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 of Surroundings (K) and Electric Work (W)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Sheet1!$H$1:$H$2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Sheet1!$H$3:$H$29</c:f>
              <c:numCache/>
            </c:numRef>
          </c:val>
        </c:ser>
        <c:ser>
          <c:idx val="1"/>
          <c:order val="1"/>
          <c:tx>
            <c:strRef>
              <c:f>Sheet1!$L$1:$L$2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trendline>
            <c:name>Trendline for Electric Work (W)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val>
            <c:numRef>
              <c:f>Sheet1!$L$3:$L$29</c:f>
              <c:numCache/>
            </c:numRef>
          </c:val>
        </c:ser>
        <c:axId val="86868880"/>
        <c:axId val="580023452"/>
      </c:barChart>
      <c:catAx>
        <c:axId val="8686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023452"/>
      </c:catAx>
      <c:valAx>
        <c:axId val="580023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68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581025</xdr:colOff>
      <xdr:row>0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723900</xdr:colOff>
      <xdr:row>0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2" width="7.13"/>
    <col customWidth="1" min="3" max="3" width="11.0"/>
    <col customWidth="1" min="4" max="4" width="20.63"/>
    <col customWidth="1" min="7" max="7" width="28.0"/>
    <col customWidth="1" min="8" max="8" width="25.25"/>
    <col customWidth="1" min="10" max="10" width="33.63"/>
    <col customWidth="1" min="11" max="11" width="14.5"/>
    <col customWidth="1" min="12" max="12" width="14.0"/>
  </cols>
  <sheetData>
    <row r="1">
      <c r="A1" s="1" t="s">
        <v>0</v>
      </c>
      <c r="B1" s="1"/>
      <c r="C1" s="1"/>
      <c r="E1" s="2" t="s">
        <v>1</v>
      </c>
      <c r="J1" s="3" t="s">
        <v>2</v>
      </c>
    </row>
    <row r="2">
      <c r="A2" s="1" t="s">
        <v>3</v>
      </c>
      <c r="B2" s="1">
        <v>7.5</v>
      </c>
      <c r="C2" s="1" t="s">
        <v>4</v>
      </c>
      <c r="E2" s="4" t="s">
        <v>5</v>
      </c>
      <c r="F2" s="4" t="s">
        <v>6</v>
      </c>
      <c r="G2" s="4" t="s">
        <v>7</v>
      </c>
      <c r="H2" s="4" t="s">
        <v>8</v>
      </c>
      <c r="J2" s="5" t="s">
        <v>9</v>
      </c>
      <c r="K2" s="5" t="s">
        <v>10</v>
      </c>
      <c r="L2" s="5" t="s">
        <v>11</v>
      </c>
    </row>
    <row r="3">
      <c r="A3" s="1" t="s">
        <v>12</v>
      </c>
      <c r="B3" s="1">
        <v>25.0</v>
      </c>
      <c r="C3" s="1" t="s">
        <v>13</v>
      </c>
      <c r="D3" s="6" t="s">
        <v>14</v>
      </c>
      <c r="E3" s="6">
        <v>152.4</v>
      </c>
      <c r="F3" s="6">
        <v>73.0</v>
      </c>
      <c r="G3" s="6">
        <f t="shared" ref="G3:G29" si="1">$B$2*F3</f>
        <v>547.5</v>
      </c>
      <c r="H3" s="6">
        <v>284.59</v>
      </c>
      <c r="I3" s="6" t="s">
        <v>15</v>
      </c>
      <c r="J3" s="7">
        <f t="shared" ref="J3:J29" si="2">0.024265*((E3^(0.3964))*(F3^(0.5378)))</f>
        <v>1.788177272</v>
      </c>
      <c r="K3" s="7">
        <f t="shared" ref="K3:K29" si="3">$B$3*J3*($B$4-H3)</f>
        <v>1142.645277</v>
      </c>
      <c r="L3" s="7">
        <f t="shared" ref="L3:L29" si="4">G3-K3</f>
        <v>-595.1452771</v>
      </c>
    </row>
    <row r="4">
      <c r="A4" s="1" t="s">
        <v>16</v>
      </c>
      <c r="B4" s="1">
        <v>310.15</v>
      </c>
      <c r="C4" s="1" t="s">
        <v>17</v>
      </c>
      <c r="E4" s="7">
        <f t="shared" ref="E4:E29" si="5">E3+1.27</f>
        <v>153.67</v>
      </c>
      <c r="F4" s="6">
        <f t="shared" ref="F4:F29" si="6">F3+1</f>
        <v>74</v>
      </c>
      <c r="G4" s="6">
        <f t="shared" si="1"/>
        <v>555</v>
      </c>
      <c r="H4" s="7">
        <f t="shared" ref="H4:H29" si="7">H3+1</f>
        <v>285.59</v>
      </c>
      <c r="J4" s="7">
        <f t="shared" si="2"/>
        <v>1.807244993</v>
      </c>
      <c r="K4" s="7">
        <f t="shared" si="3"/>
        <v>1109.648426</v>
      </c>
      <c r="L4" s="7">
        <f t="shared" si="4"/>
        <v>-554.648426</v>
      </c>
    </row>
    <row r="5">
      <c r="E5" s="7">
        <f t="shared" si="5"/>
        <v>154.94</v>
      </c>
      <c r="F5" s="6">
        <f t="shared" si="6"/>
        <v>75</v>
      </c>
      <c r="G5" s="6">
        <f t="shared" si="1"/>
        <v>562.5</v>
      </c>
      <c r="H5" s="7">
        <f t="shared" si="7"/>
        <v>286.59</v>
      </c>
      <c r="J5" s="7">
        <f t="shared" si="2"/>
        <v>1.826287199</v>
      </c>
      <c r="K5" s="7">
        <f t="shared" si="3"/>
        <v>1075.68316</v>
      </c>
      <c r="L5" s="7">
        <f t="shared" si="4"/>
        <v>-513.1831601</v>
      </c>
    </row>
    <row r="6">
      <c r="E6" s="7">
        <f t="shared" si="5"/>
        <v>156.21</v>
      </c>
      <c r="F6" s="6">
        <f t="shared" si="6"/>
        <v>76</v>
      </c>
      <c r="G6" s="6">
        <f t="shared" si="1"/>
        <v>570</v>
      </c>
      <c r="H6" s="7">
        <f t="shared" si="7"/>
        <v>287.59</v>
      </c>
      <c r="J6" s="7">
        <f t="shared" si="2"/>
        <v>1.84530444</v>
      </c>
      <c r="K6" s="7">
        <f t="shared" si="3"/>
        <v>1040.751704</v>
      </c>
      <c r="L6" s="7">
        <f t="shared" si="4"/>
        <v>-470.7517043</v>
      </c>
    </row>
    <row r="7">
      <c r="E7" s="7">
        <f t="shared" si="5"/>
        <v>157.48</v>
      </c>
      <c r="F7" s="6">
        <f t="shared" si="6"/>
        <v>77</v>
      </c>
      <c r="G7" s="6">
        <f t="shared" si="1"/>
        <v>577.5</v>
      </c>
      <c r="H7" s="7">
        <f t="shared" si="7"/>
        <v>288.59</v>
      </c>
      <c r="J7" s="7">
        <f t="shared" si="2"/>
        <v>1.864297249</v>
      </c>
      <c r="K7" s="7">
        <f t="shared" si="3"/>
        <v>1004.856217</v>
      </c>
      <c r="L7" s="7">
        <f t="shared" si="4"/>
        <v>-427.356217</v>
      </c>
    </row>
    <row r="8">
      <c r="E8" s="7">
        <f t="shared" si="5"/>
        <v>158.75</v>
      </c>
      <c r="F8" s="6">
        <f t="shared" si="6"/>
        <v>78</v>
      </c>
      <c r="G8" s="6">
        <f t="shared" si="1"/>
        <v>585</v>
      </c>
      <c r="H8" s="7">
        <f t="shared" si="7"/>
        <v>289.59</v>
      </c>
      <c r="J8" s="7">
        <f t="shared" si="2"/>
        <v>1.883266136</v>
      </c>
      <c r="K8" s="7">
        <f t="shared" si="3"/>
        <v>967.9987937</v>
      </c>
      <c r="L8" s="7">
        <f t="shared" si="4"/>
        <v>-382.9987937</v>
      </c>
    </row>
    <row r="9">
      <c r="E9" s="7">
        <f t="shared" si="5"/>
        <v>160.02</v>
      </c>
      <c r="F9" s="6">
        <f t="shared" si="6"/>
        <v>79</v>
      </c>
      <c r="G9" s="6">
        <f t="shared" si="1"/>
        <v>592.5</v>
      </c>
      <c r="H9" s="7">
        <f t="shared" si="7"/>
        <v>290.59</v>
      </c>
      <c r="J9" s="7">
        <f t="shared" si="2"/>
        <v>1.902211594</v>
      </c>
      <c r="K9" s="7">
        <f t="shared" si="3"/>
        <v>930.1814696</v>
      </c>
      <c r="L9" s="7">
        <f t="shared" si="4"/>
        <v>-337.6814696</v>
      </c>
    </row>
    <row r="10">
      <c r="E10" s="7">
        <f t="shared" si="5"/>
        <v>161.29</v>
      </c>
      <c r="F10" s="6">
        <f t="shared" si="6"/>
        <v>80</v>
      </c>
      <c r="G10" s="6">
        <f t="shared" si="1"/>
        <v>600</v>
      </c>
      <c r="H10" s="7">
        <f t="shared" si="7"/>
        <v>291.59</v>
      </c>
      <c r="J10" s="7">
        <f t="shared" si="2"/>
        <v>1.921134099</v>
      </c>
      <c r="K10" s="7">
        <f t="shared" si="3"/>
        <v>891.4062221</v>
      </c>
      <c r="L10" s="7">
        <f t="shared" si="4"/>
        <v>-291.4062221</v>
      </c>
    </row>
    <row r="11">
      <c r="E11" s="7">
        <f t="shared" si="5"/>
        <v>162.56</v>
      </c>
      <c r="F11" s="6">
        <f t="shared" si="6"/>
        <v>81</v>
      </c>
      <c r="G11" s="6">
        <f t="shared" si="1"/>
        <v>607.5</v>
      </c>
      <c r="H11" s="7">
        <f t="shared" si="7"/>
        <v>292.59</v>
      </c>
      <c r="J11" s="7">
        <f t="shared" si="2"/>
        <v>1.94003411</v>
      </c>
      <c r="K11" s="7">
        <f t="shared" si="3"/>
        <v>851.6749741</v>
      </c>
      <c r="L11" s="7">
        <f t="shared" si="4"/>
        <v>-244.1749741</v>
      </c>
    </row>
    <row r="12">
      <c r="E12" s="7">
        <f t="shared" si="5"/>
        <v>163.83</v>
      </c>
      <c r="F12" s="6">
        <f t="shared" si="6"/>
        <v>82</v>
      </c>
      <c r="G12" s="6">
        <f t="shared" si="1"/>
        <v>615</v>
      </c>
      <c r="H12" s="7">
        <f t="shared" si="7"/>
        <v>293.59</v>
      </c>
      <c r="J12" s="7">
        <f t="shared" si="2"/>
        <v>1.958912067</v>
      </c>
      <c r="K12" s="7">
        <f t="shared" si="3"/>
        <v>810.9895959</v>
      </c>
      <c r="L12" s="7">
        <f t="shared" si="4"/>
        <v>-195.9895959</v>
      </c>
    </row>
    <row r="13">
      <c r="E13" s="7">
        <f t="shared" si="5"/>
        <v>165.1</v>
      </c>
      <c r="F13" s="6">
        <f t="shared" si="6"/>
        <v>83</v>
      </c>
      <c r="G13" s="6">
        <f t="shared" si="1"/>
        <v>622.5</v>
      </c>
      <c r="H13" s="7">
        <f t="shared" si="7"/>
        <v>294.59</v>
      </c>
      <c r="J13" s="7">
        <f t="shared" si="2"/>
        <v>1.9777684</v>
      </c>
      <c r="K13" s="7">
        <f t="shared" si="3"/>
        <v>769.3519075</v>
      </c>
      <c r="L13" s="7">
        <f t="shared" si="4"/>
        <v>-146.8519075</v>
      </c>
    </row>
    <row r="14">
      <c r="E14" s="7">
        <f t="shared" si="5"/>
        <v>166.37</v>
      </c>
      <c r="F14" s="6">
        <f t="shared" si="6"/>
        <v>84</v>
      </c>
      <c r="G14" s="6">
        <f t="shared" si="1"/>
        <v>630</v>
      </c>
      <c r="H14" s="7">
        <f t="shared" si="7"/>
        <v>295.59</v>
      </c>
      <c r="J14" s="7">
        <f t="shared" si="2"/>
        <v>1.996603519</v>
      </c>
      <c r="K14" s="7">
        <f t="shared" si="3"/>
        <v>726.763681</v>
      </c>
      <c r="L14" s="7">
        <f t="shared" si="4"/>
        <v>-96.76368102</v>
      </c>
    </row>
    <row r="15">
      <c r="E15" s="7">
        <f t="shared" si="5"/>
        <v>167.64</v>
      </c>
      <c r="F15" s="6">
        <f t="shared" si="6"/>
        <v>85</v>
      </c>
      <c r="G15" s="6">
        <f t="shared" si="1"/>
        <v>637.5</v>
      </c>
      <c r="H15" s="7">
        <f t="shared" si="7"/>
        <v>296.59</v>
      </c>
      <c r="J15" s="7">
        <f t="shared" si="2"/>
        <v>2.015417825</v>
      </c>
      <c r="K15" s="7">
        <f t="shared" si="3"/>
        <v>683.2266426</v>
      </c>
      <c r="L15" s="7">
        <f t="shared" si="4"/>
        <v>-45.72664257</v>
      </c>
    </row>
    <row r="16">
      <c r="E16" s="7">
        <f t="shared" si="5"/>
        <v>168.91</v>
      </c>
      <c r="F16" s="6">
        <f t="shared" si="6"/>
        <v>86</v>
      </c>
      <c r="G16" s="6">
        <f t="shared" si="1"/>
        <v>645</v>
      </c>
      <c r="H16" s="7">
        <f t="shared" si="7"/>
        <v>297.59</v>
      </c>
      <c r="J16" s="7">
        <f t="shared" si="2"/>
        <v>2.034211701</v>
      </c>
      <c r="K16" s="7">
        <f t="shared" si="3"/>
        <v>638.7424743</v>
      </c>
      <c r="L16" s="7">
        <f t="shared" si="4"/>
        <v>6.257525731</v>
      </c>
    </row>
    <row r="17">
      <c r="E17" s="7">
        <f t="shared" si="5"/>
        <v>170.18</v>
      </c>
      <c r="F17" s="6">
        <f t="shared" si="6"/>
        <v>87</v>
      </c>
      <c r="G17" s="6">
        <f t="shared" si="1"/>
        <v>652.5</v>
      </c>
      <c r="H17" s="7">
        <f t="shared" si="7"/>
        <v>298.59</v>
      </c>
      <c r="J17" s="7">
        <f t="shared" si="2"/>
        <v>2.052985522</v>
      </c>
      <c r="K17" s="7">
        <f t="shared" si="3"/>
        <v>593.312816</v>
      </c>
      <c r="L17" s="7">
        <f t="shared" si="4"/>
        <v>59.187184</v>
      </c>
    </row>
    <row r="18">
      <c r="E18" s="7">
        <f t="shared" si="5"/>
        <v>171.45</v>
      </c>
      <c r="F18" s="6">
        <f t="shared" si="6"/>
        <v>88</v>
      </c>
      <c r="G18" s="6">
        <f t="shared" si="1"/>
        <v>660</v>
      </c>
      <c r="H18" s="7">
        <f t="shared" si="7"/>
        <v>299.59</v>
      </c>
      <c r="J18" s="7">
        <f t="shared" si="2"/>
        <v>2.071739648</v>
      </c>
      <c r="K18" s="7">
        <f t="shared" si="3"/>
        <v>546.9392672</v>
      </c>
      <c r="L18" s="7">
        <f t="shared" si="4"/>
        <v>113.0607328</v>
      </c>
    </row>
    <row r="19">
      <c r="E19" s="7">
        <f t="shared" si="5"/>
        <v>172.72</v>
      </c>
      <c r="F19" s="6">
        <f t="shared" si="6"/>
        <v>89</v>
      </c>
      <c r="G19" s="6">
        <f t="shared" si="1"/>
        <v>667.5</v>
      </c>
      <c r="H19" s="7">
        <f t="shared" si="7"/>
        <v>300.59</v>
      </c>
      <c r="J19" s="7">
        <f t="shared" si="2"/>
        <v>2.090474429</v>
      </c>
      <c r="K19" s="7">
        <f t="shared" si="3"/>
        <v>499.6233884</v>
      </c>
      <c r="L19" s="7">
        <f t="shared" si="4"/>
        <v>167.8766116</v>
      </c>
    </row>
    <row r="20">
      <c r="E20" s="7">
        <f t="shared" si="5"/>
        <v>173.99</v>
      </c>
      <c r="F20" s="6">
        <f t="shared" si="6"/>
        <v>90</v>
      </c>
      <c r="G20" s="6">
        <f t="shared" si="1"/>
        <v>675</v>
      </c>
      <c r="H20" s="7">
        <f t="shared" si="7"/>
        <v>301.59</v>
      </c>
      <c r="J20" s="7">
        <f t="shared" si="2"/>
        <v>2.109190201</v>
      </c>
      <c r="K20" s="7">
        <f t="shared" si="3"/>
        <v>451.3667031</v>
      </c>
      <c r="L20" s="7">
        <f t="shared" si="4"/>
        <v>223.6332969</v>
      </c>
    </row>
    <row r="21">
      <c r="D21" s="6" t="s">
        <v>18</v>
      </c>
      <c r="E21" s="7">
        <f t="shared" si="5"/>
        <v>175.26</v>
      </c>
      <c r="F21" s="6">
        <f t="shared" si="6"/>
        <v>91</v>
      </c>
      <c r="G21" s="6">
        <f t="shared" si="1"/>
        <v>682.5</v>
      </c>
      <c r="H21" s="7">
        <f t="shared" si="7"/>
        <v>302.59</v>
      </c>
      <c r="J21" s="7">
        <f t="shared" si="2"/>
        <v>2.127887294</v>
      </c>
      <c r="K21" s="7">
        <f t="shared" si="3"/>
        <v>402.1706985</v>
      </c>
      <c r="L21" s="7">
        <f t="shared" si="4"/>
        <v>280.3293015</v>
      </c>
    </row>
    <row r="22">
      <c r="E22" s="7">
        <f t="shared" si="5"/>
        <v>176.53</v>
      </c>
      <c r="F22" s="6">
        <f t="shared" si="6"/>
        <v>92</v>
      </c>
      <c r="G22" s="6">
        <f t="shared" si="1"/>
        <v>690</v>
      </c>
      <c r="H22" s="7">
        <f t="shared" si="7"/>
        <v>303.59</v>
      </c>
      <c r="J22" s="7">
        <f t="shared" si="2"/>
        <v>2.146566024</v>
      </c>
      <c r="K22" s="7">
        <f t="shared" si="3"/>
        <v>352.0368279</v>
      </c>
      <c r="L22" s="7">
        <f t="shared" si="4"/>
        <v>337.9631721</v>
      </c>
    </row>
    <row r="23">
      <c r="E23" s="7">
        <f t="shared" si="5"/>
        <v>177.8</v>
      </c>
      <c r="F23" s="6">
        <f t="shared" si="6"/>
        <v>93</v>
      </c>
      <c r="G23" s="6">
        <f t="shared" si="1"/>
        <v>697.5</v>
      </c>
      <c r="H23" s="7">
        <f t="shared" si="7"/>
        <v>304.59</v>
      </c>
      <c r="J23" s="7">
        <f t="shared" si="2"/>
        <v>2.165226699</v>
      </c>
      <c r="K23" s="7">
        <f t="shared" si="3"/>
        <v>300.9665112</v>
      </c>
      <c r="L23" s="7">
        <f t="shared" si="4"/>
        <v>396.5334888</v>
      </c>
    </row>
    <row r="24">
      <c r="E24" s="7">
        <f t="shared" si="5"/>
        <v>179.07</v>
      </c>
      <c r="F24" s="6">
        <f t="shared" si="6"/>
        <v>94</v>
      </c>
      <c r="G24" s="6">
        <f t="shared" si="1"/>
        <v>705</v>
      </c>
      <c r="H24" s="7">
        <f t="shared" si="7"/>
        <v>305.59</v>
      </c>
      <c r="J24" s="7">
        <f t="shared" si="2"/>
        <v>2.183869619</v>
      </c>
      <c r="K24" s="7">
        <f t="shared" si="3"/>
        <v>248.9611365</v>
      </c>
      <c r="L24" s="7">
        <f t="shared" si="4"/>
        <v>456.0388635</v>
      </c>
    </row>
    <row r="25">
      <c r="E25" s="7">
        <f t="shared" si="5"/>
        <v>180.34</v>
      </c>
      <c r="F25" s="6">
        <f t="shared" si="6"/>
        <v>95</v>
      </c>
      <c r="G25" s="6">
        <f t="shared" si="1"/>
        <v>712.5</v>
      </c>
      <c r="H25" s="7">
        <f t="shared" si="7"/>
        <v>306.59</v>
      </c>
      <c r="J25" s="7">
        <f t="shared" si="2"/>
        <v>2.202495072</v>
      </c>
      <c r="K25" s="7">
        <f t="shared" si="3"/>
        <v>196.0220614</v>
      </c>
      <c r="L25" s="7">
        <f t="shared" si="4"/>
        <v>516.4779386</v>
      </c>
    </row>
    <row r="26">
      <c r="E26" s="7">
        <f t="shared" si="5"/>
        <v>181.61</v>
      </c>
      <c r="F26" s="6">
        <f t="shared" si="6"/>
        <v>96</v>
      </c>
      <c r="G26" s="6">
        <f t="shared" si="1"/>
        <v>720</v>
      </c>
      <c r="H26" s="7">
        <f t="shared" si="7"/>
        <v>307.59</v>
      </c>
      <c r="J26" s="7">
        <f t="shared" si="2"/>
        <v>2.221103339</v>
      </c>
      <c r="K26" s="7">
        <f t="shared" si="3"/>
        <v>142.1506137</v>
      </c>
      <c r="L26" s="7">
        <f t="shared" si="4"/>
        <v>577.8493863</v>
      </c>
    </row>
    <row r="27">
      <c r="E27" s="7">
        <f t="shared" si="5"/>
        <v>182.88</v>
      </c>
      <c r="F27" s="6">
        <f t="shared" si="6"/>
        <v>97</v>
      </c>
      <c r="G27" s="6">
        <f t="shared" si="1"/>
        <v>727.5</v>
      </c>
      <c r="H27" s="7">
        <f t="shared" si="7"/>
        <v>308.59</v>
      </c>
      <c r="J27" s="7">
        <f t="shared" si="2"/>
        <v>2.239694694</v>
      </c>
      <c r="K27" s="7">
        <f t="shared" si="3"/>
        <v>87.34809308</v>
      </c>
      <c r="L27" s="7">
        <f t="shared" si="4"/>
        <v>640.1519069</v>
      </c>
    </row>
    <row r="28">
      <c r="E28" s="7">
        <f t="shared" si="5"/>
        <v>184.15</v>
      </c>
      <c r="F28" s="6">
        <f t="shared" si="6"/>
        <v>98</v>
      </c>
      <c r="G28" s="6">
        <f t="shared" si="1"/>
        <v>735</v>
      </c>
      <c r="H28" s="7">
        <f t="shared" si="7"/>
        <v>309.59</v>
      </c>
      <c r="J28" s="7">
        <f t="shared" si="2"/>
        <v>2.258269402</v>
      </c>
      <c r="K28" s="7">
        <f t="shared" si="3"/>
        <v>31.61577163</v>
      </c>
      <c r="L28" s="7">
        <f t="shared" si="4"/>
        <v>703.3842284</v>
      </c>
    </row>
    <row r="29">
      <c r="D29" s="6" t="s">
        <v>19</v>
      </c>
      <c r="E29" s="7">
        <f t="shared" si="5"/>
        <v>185.42</v>
      </c>
      <c r="F29" s="6">
        <f t="shared" si="6"/>
        <v>99</v>
      </c>
      <c r="G29" s="6">
        <f t="shared" si="1"/>
        <v>742.5</v>
      </c>
      <c r="H29" s="7">
        <f t="shared" si="7"/>
        <v>310.59</v>
      </c>
      <c r="I29" s="6" t="s">
        <v>20</v>
      </c>
      <c r="J29" s="7">
        <f t="shared" si="2"/>
        <v>2.27682772</v>
      </c>
      <c r="K29" s="7">
        <f t="shared" si="3"/>
        <v>-25.04510493</v>
      </c>
      <c r="L29" s="7">
        <f t="shared" si="4"/>
        <v>767.5451049</v>
      </c>
    </row>
  </sheetData>
  <mergeCells count="2">
    <mergeCell ref="J1:L1"/>
    <mergeCell ref="E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